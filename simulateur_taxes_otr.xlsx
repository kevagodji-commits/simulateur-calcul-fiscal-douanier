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onfiguration_Taxes" sheetId="1" r:id="rId5"/>
    <sheet state="visible" name="Calculateur_Simulation" sheetId="2" r:id="rId6"/>
  </sheets>
  <definedNames/>
  <calcPr/>
</workbook>
</file>

<file path=xl/sharedStrings.xml><?xml version="1.0" encoding="utf-8"?>
<sst xmlns="http://schemas.openxmlformats.org/spreadsheetml/2006/main" count="21" uniqueCount="20">
  <si>
    <t>code</t>
  </si>
  <si>
    <t>Catégorie Marchandise</t>
  </si>
  <si>
    <t>Droit de Douane</t>
  </si>
  <si>
    <t>TVA</t>
  </si>
  <si>
    <t xml:space="preserve"> Redevance Informatique</t>
  </si>
  <si>
    <t>MAT-INF</t>
  </si>
  <si>
    <t>Matériel Informatique</t>
  </si>
  <si>
    <t>HYDRO</t>
  </si>
  <si>
    <t>Hydrocarbures &amp; Carburants</t>
  </si>
  <si>
    <t>VEH-05</t>
  </si>
  <si>
    <t>Véhicules de moins de 5 ans</t>
  </si>
  <si>
    <t>MED-01</t>
  </si>
  <si>
    <t>Produits Médicaux / Parmaceutiques</t>
  </si>
  <si>
    <t>Formulaire de Simulation Fiscale et Douanière</t>
  </si>
  <si>
    <t>Valeur en douane de la marchandise (FCFA)</t>
  </si>
  <si>
    <t>Code Catégorie Marchandise</t>
  </si>
  <si>
    <t>Montant Droit de Douane</t>
  </si>
  <si>
    <t>Montant TVA</t>
  </si>
  <si>
    <t>Redevance Informatique</t>
  </si>
  <si>
    <t>TOTAL DES TAXES A PERCEVOIR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</si>
</sst>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color theme="1"/>
      <name val="Arial"/>
      <scheme val="minor"/>
    </font>
    <font>
      <b/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9" xfId="0" applyAlignment="1" applyFont="1" applyNumberFormat="1">
      <alignment readingOrder="0"/>
    </xf>
    <xf borderId="0" fillId="0" fontId="2" numFmtId="0" xfId="0" applyAlignment="1" applyFont="1">
      <alignment readingOrder="0"/>
    </xf>
    <xf borderId="0" fillId="0" fontId="1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1" t="s">
        <v>5</v>
      </c>
      <c r="B2" s="1" t="s">
        <v>6</v>
      </c>
      <c r="C2" s="2">
        <v>0.05</v>
      </c>
      <c r="D2" s="2">
        <v>0.18</v>
      </c>
      <c r="E2" s="2">
        <v>0.01</v>
      </c>
    </row>
    <row r="3">
      <c r="A3" s="1" t="s">
        <v>7</v>
      </c>
      <c r="B3" s="1" t="s">
        <v>8</v>
      </c>
      <c r="C3" s="2">
        <v>0.2</v>
      </c>
      <c r="D3" s="2">
        <v>0.18</v>
      </c>
      <c r="E3" s="2">
        <v>0.01</v>
      </c>
    </row>
    <row r="4">
      <c r="A4" s="1" t="s">
        <v>9</v>
      </c>
      <c r="B4" s="1" t="s">
        <v>10</v>
      </c>
      <c r="C4" s="2">
        <v>0.1</v>
      </c>
      <c r="D4" s="2">
        <v>0.18</v>
      </c>
      <c r="E4" s="2">
        <v>0.01</v>
      </c>
    </row>
    <row r="5">
      <c r="A5" s="1" t="s">
        <v>11</v>
      </c>
      <c r="B5" s="1" t="s">
        <v>12</v>
      </c>
      <c r="C5" s="2">
        <v>0.0</v>
      </c>
      <c r="D5" s="2">
        <v>0.0</v>
      </c>
      <c r="E5" s="2">
        <v>0.01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3" t="s">
        <v>13</v>
      </c>
    </row>
    <row r="3">
      <c r="A3" s="1" t="s">
        <v>14</v>
      </c>
      <c r="B3" s="1">
        <v>5000000.0</v>
      </c>
    </row>
    <row r="4">
      <c r="A4" s="1" t="s">
        <v>15</v>
      </c>
      <c r="B4" s="1" t="s">
        <v>7</v>
      </c>
    </row>
    <row r="6">
      <c r="A6" s="1" t="s">
        <v>16</v>
      </c>
      <c r="B6" s="4">
        <f t="array" ref="B6">B3 * XLOOKUP(B4, Configuration_Taxes!A:A, Configuration_Taxes!C:C, 0)</f>
        <v>1000000</v>
      </c>
    </row>
    <row r="7">
      <c r="A7" s="1" t="s">
        <v>17</v>
      </c>
      <c r="B7" s="4">
        <f t="array" ref="B7">(B3 + B6) * XLOOKUP(B4, Configuration_Taxes!A:A, Configuration_Taxes!D:D, 0)</f>
        <v>1080000</v>
      </c>
    </row>
    <row r="8">
      <c r="A8" s="1" t="s">
        <v>18</v>
      </c>
      <c r="B8" s="4">
        <f t="array" ref="B8">B3 * XLOOKUP(B4, Configuration_Taxes!A:A, Configuration_Taxes!E:E, 0)</f>
        <v>50000</v>
      </c>
    </row>
    <row r="10">
      <c r="A10" s="3" t="s">
        <v>19</v>
      </c>
      <c r="B10" s="4">
        <f>SUM(B6:B8)</f>
        <v>2130000</v>
      </c>
    </row>
  </sheetData>
  <drawing r:id="rId1"/>
</worksheet>
</file>